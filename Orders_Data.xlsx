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888\OneDrive\Desktop\BA\"/>
    </mc:Choice>
  </mc:AlternateContent>
  <xr:revisionPtr revIDLastSave="0" documentId="13_ncr:1_{9032E423-12BE-4B8E-9FF3-92F64CCAC637}" xr6:coauthVersionLast="47" xr6:coauthVersionMax="47" xr10:uidLastSave="{00000000-0000-0000-0000-000000000000}"/>
  <bookViews>
    <workbookView xWindow="-108" yWindow="-108" windowWidth="23256" windowHeight="13176" activeTab="2" xr2:uid="{724CF8EC-E91E-4B33-98B8-40F04CD2049F}"/>
  </bookViews>
  <sheets>
    <sheet name="Orders_Data" sheetId="1" r:id="rId1"/>
    <sheet name="Metrics_Summary" sheetId="2" r:id="rId2"/>
    <sheet name="dashboard" sheetId="4" r:id="rId3"/>
  </sheets>
  <definedNames>
    <definedName name="Orders_data">Table1[]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<sst xmlns="http://schemas.openxmlformats.org/spreadsheetml/2006/main" count="134" uniqueCount="62">
  <si>
    <t>Order_ID</t>
  </si>
  <si>
    <t>User_ID</t>
  </si>
  <si>
    <t>Product</t>
  </si>
  <si>
    <t>Category</t>
  </si>
  <si>
    <t>Viewed</t>
  </si>
  <si>
    <t>Added_to_Cart</t>
  </si>
  <si>
    <t>Purchased</t>
  </si>
  <si>
    <t>Order_Value</t>
  </si>
  <si>
    <t>Date</t>
  </si>
  <si>
    <t>Payment_Method</t>
  </si>
  <si>
    <t>U001</t>
  </si>
  <si>
    <t>Shoes</t>
  </si>
  <si>
    <t>Fashion</t>
  </si>
  <si>
    <t>UPI</t>
  </si>
  <si>
    <t>U002</t>
  </si>
  <si>
    <t>Laptop Bag</t>
  </si>
  <si>
    <t>Accessories</t>
  </si>
  <si>
    <t>-</t>
  </si>
  <si>
    <t>U003</t>
  </si>
  <si>
    <t>Saree</t>
  </si>
  <si>
    <t>Card</t>
  </si>
  <si>
    <t>U004</t>
  </si>
  <si>
    <t>Earbuds</t>
  </si>
  <si>
    <t>Electronics</t>
  </si>
  <si>
    <t>U005</t>
  </si>
  <si>
    <t>Phone Case</t>
  </si>
  <si>
    <t>U006</t>
  </si>
  <si>
    <t>T-Shirt</t>
  </si>
  <si>
    <t>U007</t>
  </si>
  <si>
    <t>Keyboard</t>
  </si>
  <si>
    <t>COD</t>
  </si>
  <si>
    <t>U008</t>
  </si>
  <si>
    <t>Lipstick</t>
  </si>
  <si>
    <t>Beauty</t>
  </si>
  <si>
    <t>U009</t>
  </si>
  <si>
    <t>Kurta</t>
  </si>
  <si>
    <t>U010</t>
  </si>
  <si>
    <t>Smartwatch</t>
  </si>
  <si>
    <t>Headphones</t>
  </si>
  <si>
    <t>Sling Bag</t>
  </si>
  <si>
    <t>Bracelet</t>
  </si>
  <si>
    <t>Heels</t>
  </si>
  <si>
    <t>Nail Paint</t>
  </si>
  <si>
    <t>Mouse</t>
  </si>
  <si>
    <t>Foundation</t>
  </si>
  <si>
    <t>Webcam</t>
  </si>
  <si>
    <t>Sunglasses</t>
  </si>
  <si>
    <t>Metric</t>
  </si>
  <si>
    <t>Formula</t>
  </si>
  <si>
    <t>Total Users</t>
  </si>
  <si>
    <t>Total Orders</t>
  </si>
  <si>
    <t>Conversion Rate</t>
  </si>
  <si>
    <t>Cart Abandonment Rate</t>
  </si>
  <si>
    <t>Average Order Value (AOV)</t>
  </si>
  <si>
    <t>Revenue</t>
  </si>
  <si>
    <t>Row Labels</t>
  </si>
  <si>
    <t>Grand Total</t>
  </si>
  <si>
    <t>Sum of Order_ID</t>
  </si>
  <si>
    <t>Sum of Viewed</t>
  </si>
  <si>
    <t>Sum of Added_to_Cart</t>
  </si>
  <si>
    <t>Sum of Purchased</t>
  </si>
  <si>
    <t>Sum of 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</si>
</sst>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[Orders_Data.xlsx]dashboard!PivotTable1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16801956942399"/>
          <c:y val="0.12812806048497669"/>
          <c:w val="0.71412809778221309"/>
          <c:h val="0.569750068554863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Sum of Order_ID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dashboard!$A$2:$A$31</c:f>
              <c:multiLvlStrCache>
                <c:ptCount val="19"/>
                <c:lvl>
                  <c:pt idx="0">
                    <c:v>Heels</c:v>
                  </c:pt>
                  <c:pt idx="1">
                    <c:v>Shoes</c:v>
                  </c:pt>
                  <c:pt idx="2">
                    <c:v>Laptop Bag</c:v>
                  </c:pt>
                  <c:pt idx="3">
                    <c:v>Sling Bag</c:v>
                  </c:pt>
                  <c:pt idx="4">
                    <c:v>Saree</c:v>
                  </c:pt>
                  <c:pt idx="5">
                    <c:v>Earbuds</c:v>
                  </c:pt>
                  <c:pt idx="6">
                    <c:v>Headphones</c:v>
                  </c:pt>
                  <c:pt idx="7">
                    <c:v>Phone Case</c:v>
                  </c:pt>
                  <c:pt idx="8">
                    <c:v>Sunglasses</c:v>
                  </c:pt>
                  <c:pt idx="9">
                    <c:v>Bracelet</c:v>
                  </c:pt>
                  <c:pt idx="10">
                    <c:v>T-Shirt</c:v>
                  </c:pt>
                  <c:pt idx="11">
                    <c:v>Keyboard</c:v>
                  </c:pt>
                  <c:pt idx="12">
                    <c:v>Webcam</c:v>
                  </c:pt>
                  <c:pt idx="13">
                    <c:v>Foundation</c:v>
                  </c:pt>
                  <c:pt idx="14">
                    <c:v>Lipstick</c:v>
                  </c:pt>
                  <c:pt idx="15">
                    <c:v>Kurta</c:v>
                  </c:pt>
                  <c:pt idx="16">
                    <c:v>Nail Paint</c:v>
                  </c:pt>
                  <c:pt idx="17">
                    <c:v>Mouse</c:v>
                  </c:pt>
                  <c:pt idx="18">
                    <c:v>Smartwatch</c:v>
                  </c:pt>
                </c:lvl>
                <c:lvl>
                  <c:pt idx="0">
                    <c:v>U001</c:v>
                  </c:pt>
                  <c:pt idx="2">
                    <c:v>U002</c:v>
                  </c:pt>
                  <c:pt idx="4">
                    <c:v>U003</c:v>
                  </c:pt>
                  <c:pt idx="5">
                    <c:v>U004</c:v>
                  </c:pt>
                  <c:pt idx="7">
                    <c:v>U005</c:v>
                  </c:pt>
                  <c:pt idx="9">
                    <c:v>U006</c:v>
                  </c:pt>
                  <c:pt idx="11">
                    <c:v>U007</c:v>
                  </c:pt>
                  <c:pt idx="13">
                    <c:v>U008</c:v>
                  </c:pt>
                  <c:pt idx="15">
                    <c:v>U009</c:v>
                  </c:pt>
                  <c:pt idx="17">
                    <c:v>U010</c:v>
                  </c:pt>
                </c:lvl>
              </c:multiLvlStrCache>
            </c:multiLvlStrRef>
          </c:cat>
          <c:val>
            <c:numRef>
              <c:f>dashboard!$B$2:$B$31</c:f>
              <c:numCache>
                <c:formatCode>General</c:formatCode>
                <c:ptCount val="19"/>
                <c:pt idx="0">
                  <c:v>15</c:v>
                </c:pt>
                <c:pt idx="1">
                  <c:v>1</c:v>
                </c:pt>
                <c:pt idx="2">
                  <c:v>2</c:v>
                </c:pt>
                <c:pt idx="3">
                  <c:v>12</c:v>
                </c:pt>
                <c:pt idx="4">
                  <c:v>16</c:v>
                </c:pt>
                <c:pt idx="5">
                  <c:v>4</c:v>
                </c:pt>
                <c:pt idx="6">
                  <c:v>11</c:v>
                </c:pt>
                <c:pt idx="7">
                  <c:v>5</c:v>
                </c:pt>
                <c:pt idx="8">
                  <c:v>20</c:v>
                </c:pt>
                <c:pt idx="9">
                  <c:v>14</c:v>
                </c:pt>
                <c:pt idx="10">
                  <c:v>6</c:v>
                </c:pt>
                <c:pt idx="11">
                  <c:v>7</c:v>
                </c:pt>
                <c:pt idx="12">
                  <c:v>19</c:v>
                </c:pt>
                <c:pt idx="13">
                  <c:v>18</c:v>
                </c:pt>
                <c:pt idx="14">
                  <c:v>8</c:v>
                </c:pt>
                <c:pt idx="15">
                  <c:v>9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3-4D7A-98B0-BD6E6024F3F3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Sum of Viewed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dashboard!$A$2:$A$31</c:f>
              <c:multiLvlStrCache>
                <c:ptCount val="19"/>
                <c:lvl>
                  <c:pt idx="0">
                    <c:v>Heels</c:v>
                  </c:pt>
                  <c:pt idx="1">
                    <c:v>Shoes</c:v>
                  </c:pt>
                  <c:pt idx="2">
                    <c:v>Laptop Bag</c:v>
                  </c:pt>
                  <c:pt idx="3">
                    <c:v>Sling Bag</c:v>
                  </c:pt>
                  <c:pt idx="4">
                    <c:v>Saree</c:v>
                  </c:pt>
                  <c:pt idx="5">
                    <c:v>Earbuds</c:v>
                  </c:pt>
                  <c:pt idx="6">
                    <c:v>Headphones</c:v>
                  </c:pt>
                  <c:pt idx="7">
                    <c:v>Phone Case</c:v>
                  </c:pt>
                  <c:pt idx="8">
                    <c:v>Sunglasses</c:v>
                  </c:pt>
                  <c:pt idx="9">
                    <c:v>Bracelet</c:v>
                  </c:pt>
                  <c:pt idx="10">
                    <c:v>T-Shirt</c:v>
                  </c:pt>
                  <c:pt idx="11">
                    <c:v>Keyboard</c:v>
                  </c:pt>
                  <c:pt idx="12">
                    <c:v>Webcam</c:v>
                  </c:pt>
                  <c:pt idx="13">
                    <c:v>Foundation</c:v>
                  </c:pt>
                  <c:pt idx="14">
                    <c:v>Lipstick</c:v>
                  </c:pt>
                  <c:pt idx="15">
                    <c:v>Kurta</c:v>
                  </c:pt>
                  <c:pt idx="16">
                    <c:v>Nail Paint</c:v>
                  </c:pt>
                  <c:pt idx="17">
                    <c:v>Mouse</c:v>
                  </c:pt>
                  <c:pt idx="18">
                    <c:v>Smartwatch</c:v>
                  </c:pt>
                </c:lvl>
                <c:lvl>
                  <c:pt idx="0">
                    <c:v>U001</c:v>
                  </c:pt>
                  <c:pt idx="2">
                    <c:v>U002</c:v>
                  </c:pt>
                  <c:pt idx="4">
                    <c:v>U003</c:v>
                  </c:pt>
                  <c:pt idx="5">
                    <c:v>U004</c:v>
                  </c:pt>
                  <c:pt idx="7">
                    <c:v>U005</c:v>
                  </c:pt>
                  <c:pt idx="9">
                    <c:v>U006</c:v>
                  </c:pt>
                  <c:pt idx="11">
                    <c:v>U007</c:v>
                  </c:pt>
                  <c:pt idx="13">
                    <c:v>U008</c:v>
                  </c:pt>
                  <c:pt idx="15">
                    <c:v>U009</c:v>
                  </c:pt>
                  <c:pt idx="17">
                    <c:v>U010</c:v>
                  </c:pt>
                </c:lvl>
              </c:multiLvlStrCache>
            </c:multiLvlStrRef>
          </c:cat>
          <c:val>
            <c:numRef>
              <c:f>dashboard!$C$2:$C$31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03-4D7A-98B0-BD6E6024F3F3}"/>
            </c:ext>
          </c:extLst>
        </c:ser>
        <c:ser>
          <c:idx val="2"/>
          <c:order val="2"/>
          <c:tx>
            <c:strRef>
              <c:f>dashboard!$D$1</c:f>
              <c:strCache>
                <c:ptCount val="1"/>
                <c:pt idx="0">
                  <c:v>Sum of Added_to_Cart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dashboard!$A$2:$A$31</c:f>
              <c:multiLvlStrCache>
                <c:ptCount val="19"/>
                <c:lvl>
                  <c:pt idx="0">
                    <c:v>Heels</c:v>
                  </c:pt>
                  <c:pt idx="1">
                    <c:v>Shoes</c:v>
                  </c:pt>
                  <c:pt idx="2">
                    <c:v>Laptop Bag</c:v>
                  </c:pt>
                  <c:pt idx="3">
                    <c:v>Sling Bag</c:v>
                  </c:pt>
                  <c:pt idx="4">
                    <c:v>Saree</c:v>
                  </c:pt>
                  <c:pt idx="5">
                    <c:v>Earbuds</c:v>
                  </c:pt>
                  <c:pt idx="6">
                    <c:v>Headphones</c:v>
                  </c:pt>
                  <c:pt idx="7">
                    <c:v>Phone Case</c:v>
                  </c:pt>
                  <c:pt idx="8">
                    <c:v>Sunglasses</c:v>
                  </c:pt>
                  <c:pt idx="9">
                    <c:v>Bracelet</c:v>
                  </c:pt>
                  <c:pt idx="10">
                    <c:v>T-Shirt</c:v>
                  </c:pt>
                  <c:pt idx="11">
                    <c:v>Keyboard</c:v>
                  </c:pt>
                  <c:pt idx="12">
                    <c:v>Webcam</c:v>
                  </c:pt>
                  <c:pt idx="13">
                    <c:v>Foundation</c:v>
                  </c:pt>
                  <c:pt idx="14">
                    <c:v>Lipstick</c:v>
                  </c:pt>
                  <c:pt idx="15">
                    <c:v>Kurta</c:v>
                  </c:pt>
                  <c:pt idx="16">
                    <c:v>Nail Paint</c:v>
                  </c:pt>
                  <c:pt idx="17">
                    <c:v>Mouse</c:v>
                  </c:pt>
                  <c:pt idx="18">
                    <c:v>Smartwatch</c:v>
                  </c:pt>
                </c:lvl>
                <c:lvl>
                  <c:pt idx="0">
                    <c:v>U001</c:v>
                  </c:pt>
                  <c:pt idx="2">
                    <c:v>U002</c:v>
                  </c:pt>
                  <c:pt idx="4">
                    <c:v>U003</c:v>
                  </c:pt>
                  <c:pt idx="5">
                    <c:v>U004</c:v>
                  </c:pt>
                  <c:pt idx="7">
                    <c:v>U005</c:v>
                  </c:pt>
                  <c:pt idx="9">
                    <c:v>U006</c:v>
                  </c:pt>
                  <c:pt idx="11">
                    <c:v>U007</c:v>
                  </c:pt>
                  <c:pt idx="13">
                    <c:v>U008</c:v>
                  </c:pt>
                  <c:pt idx="15">
                    <c:v>U009</c:v>
                  </c:pt>
                  <c:pt idx="17">
                    <c:v>U010</c:v>
                  </c:pt>
                </c:lvl>
              </c:multiLvlStrCache>
            </c:multiLvlStrRef>
          </c:cat>
          <c:val>
            <c:numRef>
              <c:f>dashboard!$D$2:$D$31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03-4D7A-98B0-BD6E6024F3F3}"/>
            </c:ext>
          </c:extLst>
        </c:ser>
        <c:ser>
          <c:idx val="3"/>
          <c:order val="3"/>
          <c:tx>
            <c:strRef>
              <c:f>dashboard!$E$1</c:f>
              <c:strCache>
                <c:ptCount val="1"/>
                <c:pt idx="0">
                  <c:v>Sum of Purchased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dashboard!$A$2:$A$31</c:f>
              <c:multiLvlStrCache>
                <c:ptCount val="19"/>
                <c:lvl>
                  <c:pt idx="0">
                    <c:v>Heels</c:v>
                  </c:pt>
                  <c:pt idx="1">
                    <c:v>Shoes</c:v>
                  </c:pt>
                  <c:pt idx="2">
                    <c:v>Laptop Bag</c:v>
                  </c:pt>
                  <c:pt idx="3">
                    <c:v>Sling Bag</c:v>
                  </c:pt>
                  <c:pt idx="4">
                    <c:v>Saree</c:v>
                  </c:pt>
                  <c:pt idx="5">
                    <c:v>Earbuds</c:v>
                  </c:pt>
                  <c:pt idx="6">
                    <c:v>Headphones</c:v>
                  </c:pt>
                  <c:pt idx="7">
                    <c:v>Phone Case</c:v>
                  </c:pt>
                  <c:pt idx="8">
                    <c:v>Sunglasses</c:v>
                  </c:pt>
                  <c:pt idx="9">
                    <c:v>Bracelet</c:v>
                  </c:pt>
                  <c:pt idx="10">
                    <c:v>T-Shirt</c:v>
                  </c:pt>
                  <c:pt idx="11">
                    <c:v>Keyboard</c:v>
                  </c:pt>
                  <c:pt idx="12">
                    <c:v>Webcam</c:v>
                  </c:pt>
                  <c:pt idx="13">
                    <c:v>Foundation</c:v>
                  </c:pt>
                  <c:pt idx="14">
                    <c:v>Lipstick</c:v>
                  </c:pt>
                  <c:pt idx="15">
                    <c:v>Kurta</c:v>
                  </c:pt>
                  <c:pt idx="16">
                    <c:v>Nail Paint</c:v>
                  </c:pt>
                  <c:pt idx="17">
                    <c:v>Mouse</c:v>
                  </c:pt>
                  <c:pt idx="18">
                    <c:v>Smartwatch</c:v>
                  </c:pt>
                </c:lvl>
                <c:lvl>
                  <c:pt idx="0">
                    <c:v>U001</c:v>
                  </c:pt>
                  <c:pt idx="2">
                    <c:v>U002</c:v>
                  </c:pt>
                  <c:pt idx="4">
                    <c:v>U003</c:v>
                  </c:pt>
                  <c:pt idx="5">
                    <c:v>U004</c:v>
                  </c:pt>
                  <c:pt idx="7">
                    <c:v>U005</c:v>
                  </c:pt>
                  <c:pt idx="9">
                    <c:v>U006</c:v>
                  </c:pt>
                  <c:pt idx="11">
                    <c:v>U007</c:v>
                  </c:pt>
                  <c:pt idx="13">
                    <c:v>U008</c:v>
                  </c:pt>
                  <c:pt idx="15">
                    <c:v>U009</c:v>
                  </c:pt>
                  <c:pt idx="17">
                    <c:v>U010</c:v>
                  </c:pt>
                </c:lvl>
              </c:multiLvlStrCache>
            </c:multiLvlStrRef>
          </c:cat>
          <c:val>
            <c:numRef>
              <c:f>dashboard!$E$2:$E$31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3-4D7A-98B0-BD6E6024F3F3}"/>
            </c:ext>
          </c:extLst>
        </c:ser>
        <c:ser>
          <c:idx val="4"/>
          <c:order val="4"/>
          <c:tx>
            <c:strRef>
              <c:f>dashboard!$F$1</c:f>
              <c:strCache>
                <c:ptCount val="1"/>
                <c:pt idx="0">
                  <c:v>Sum of Order_Value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dashboard!$A$2:$A$31</c:f>
              <c:multiLvlStrCache>
                <c:ptCount val="19"/>
                <c:lvl>
                  <c:pt idx="0">
                    <c:v>Heels</c:v>
                  </c:pt>
                  <c:pt idx="1">
                    <c:v>Shoes</c:v>
                  </c:pt>
                  <c:pt idx="2">
                    <c:v>Laptop Bag</c:v>
                  </c:pt>
                  <c:pt idx="3">
                    <c:v>Sling Bag</c:v>
                  </c:pt>
                  <c:pt idx="4">
                    <c:v>Saree</c:v>
                  </c:pt>
                  <c:pt idx="5">
                    <c:v>Earbuds</c:v>
                  </c:pt>
                  <c:pt idx="6">
                    <c:v>Headphones</c:v>
                  </c:pt>
                  <c:pt idx="7">
                    <c:v>Phone Case</c:v>
                  </c:pt>
                  <c:pt idx="8">
                    <c:v>Sunglasses</c:v>
                  </c:pt>
                  <c:pt idx="9">
                    <c:v>Bracelet</c:v>
                  </c:pt>
                  <c:pt idx="10">
                    <c:v>T-Shirt</c:v>
                  </c:pt>
                  <c:pt idx="11">
                    <c:v>Keyboard</c:v>
                  </c:pt>
                  <c:pt idx="12">
                    <c:v>Webcam</c:v>
                  </c:pt>
                  <c:pt idx="13">
                    <c:v>Foundation</c:v>
                  </c:pt>
                  <c:pt idx="14">
                    <c:v>Lipstick</c:v>
                  </c:pt>
                  <c:pt idx="15">
                    <c:v>Kurta</c:v>
                  </c:pt>
                  <c:pt idx="16">
                    <c:v>Nail Paint</c:v>
                  </c:pt>
                  <c:pt idx="17">
                    <c:v>Mouse</c:v>
                  </c:pt>
                  <c:pt idx="18">
                    <c:v>Smartwatch</c:v>
                  </c:pt>
                </c:lvl>
                <c:lvl>
                  <c:pt idx="0">
                    <c:v>U001</c:v>
                  </c:pt>
                  <c:pt idx="2">
                    <c:v>U002</c:v>
                  </c:pt>
                  <c:pt idx="4">
                    <c:v>U003</c:v>
                  </c:pt>
                  <c:pt idx="5">
                    <c:v>U004</c:v>
                  </c:pt>
                  <c:pt idx="7">
                    <c:v>U005</c:v>
                  </c:pt>
                  <c:pt idx="9">
                    <c:v>U006</c:v>
                  </c:pt>
                  <c:pt idx="11">
                    <c:v>U007</c:v>
                  </c:pt>
                  <c:pt idx="13">
                    <c:v>U008</c:v>
                  </c:pt>
                  <c:pt idx="15">
                    <c:v>U009</c:v>
                  </c:pt>
                  <c:pt idx="17">
                    <c:v>U010</c:v>
                  </c:pt>
                </c:lvl>
              </c:multiLvlStrCache>
            </c:multiLvlStrRef>
          </c:cat>
          <c:val>
            <c:numRef>
              <c:f>dashboard!$F$2:$F$31</c:f>
              <c:numCache>
                <c:formatCode>General</c:formatCode>
                <c:ptCount val="19"/>
                <c:pt idx="0">
                  <c:v>0</c:v>
                </c:pt>
                <c:pt idx="1">
                  <c:v>1299</c:v>
                </c:pt>
                <c:pt idx="2">
                  <c:v>0</c:v>
                </c:pt>
                <c:pt idx="3">
                  <c:v>599</c:v>
                </c:pt>
                <c:pt idx="4">
                  <c:v>799</c:v>
                </c:pt>
                <c:pt idx="5">
                  <c:v>0</c:v>
                </c:pt>
                <c:pt idx="6">
                  <c:v>1999</c:v>
                </c:pt>
                <c:pt idx="7">
                  <c:v>299</c:v>
                </c:pt>
                <c:pt idx="8">
                  <c:v>449</c:v>
                </c:pt>
                <c:pt idx="9">
                  <c:v>399</c:v>
                </c:pt>
                <c:pt idx="10">
                  <c:v>0</c:v>
                </c:pt>
                <c:pt idx="11">
                  <c:v>1599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999</c:v>
                </c:pt>
                <c:pt idx="16">
                  <c:v>249</c:v>
                </c:pt>
                <c:pt idx="17">
                  <c:v>999</c:v>
                </c:pt>
                <c:pt idx="18">
                  <c:v>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03-4D7A-98B0-BD6E6024F3F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13050223"/>
        <c:axId val="413699711"/>
      </c:barChart>
      <c:catAx>
        <c:axId val="513050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99711"/>
        <c:crosses val="autoZero"/>
        <c:auto val="1"/>
        <c:lblAlgn val="ctr"/>
        <c:lblOffset val="100"/>
        <c:noMultiLvlLbl val="0"/>
      </c:catAx>
      <c:valAx>
        <c:axId val="4136997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50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3</xdr:row>
      <xdr:rowOff>167640</xdr:rowOff>
    </xdr:from>
    <xdr:to>
      <xdr:col>23</xdr:col>
      <xdr:colOff>68580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A0236-47EC-4B7C-C499-8F1E0D085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ni NS" refreshedDate="45992.91518935185" createdVersion="8" refreshedVersion="8" minRefreshableVersion="3" recordCount="20" xr:uid="{BBD74BC9-5112-4B19-939D-1AD4F43F6C99}">
  <cacheSource type="worksheet">
    <worksheetSource name="Table1"/>
  </cacheSource>
  <cacheFields count="10">
    <cacheField name="Order_ID" numFmtId="0">
      <sharedItems containsSemiMixedTypes="0" containsString="0" containsNumber="1" containsInteger="1" minValue="1" maxValue="20"/>
    </cacheField>
    <cacheField name="User_ID" numFmtId="0">
      <sharedItems count="10">
        <s v="U001"/>
        <s v="U002"/>
        <s v="U003"/>
        <s v="U004"/>
        <s v="U005"/>
        <s v="U006"/>
        <s v="U007"/>
        <s v="U008"/>
        <s v="U009"/>
        <s v="U010"/>
      </sharedItems>
    </cacheField>
    <cacheField name="Product" numFmtId="0">
      <sharedItems count="19">
        <s v="Shoes"/>
        <s v="Laptop Bag"/>
        <s v="Saree"/>
        <s v="Earbuds"/>
        <s v="Phone Case"/>
        <s v="T-Shirt"/>
        <s v="Keyboard"/>
        <s v="Lipstick"/>
        <s v="Kurta"/>
        <s v="Smartwatch"/>
        <s v="Headphones"/>
        <s v="Sling Bag"/>
        <s v="Bracelet"/>
        <s v="Heels"/>
        <s v="Nail Paint"/>
        <s v="Mouse"/>
        <s v="Foundation"/>
        <s v="Webcam"/>
        <s v="Sunglasses"/>
      </sharedItems>
    </cacheField>
    <cacheField name="Category" numFmtId="0">
      <sharedItems count="4">
        <s v="Fashion"/>
        <s v="Accessories"/>
        <s v="Electronics"/>
        <s v="Beauty"/>
      </sharedItems>
    </cacheField>
    <cacheField name="Viewed" numFmtId="0">
      <sharedItems containsSemiMixedTypes="0" containsString="0" containsNumber="1" containsInteger="1" minValue="1" maxValue="1"/>
    </cacheField>
    <cacheField name="Added_to_Cart" numFmtId="0">
      <sharedItems containsSemiMixedTypes="0" containsString="0" containsNumber="1" containsInteger="1" minValue="0" maxValue="1"/>
    </cacheField>
    <cacheField name="Purchased" numFmtId="0">
      <sharedItems containsSemiMixedTypes="0" containsString="0" containsNumber="1" containsInteger="1" minValue="0" maxValue="1"/>
    </cacheField>
    <cacheField name="Order_Value" numFmtId="0">
      <sharedItems containsSemiMixedTypes="0" containsString="0" containsNumber="1" containsInteger="1" minValue="0" maxValue="2299"/>
    </cacheField>
    <cacheField name="Date" numFmtId="14">
      <sharedItems containsSemiMixedTypes="0" containsNonDate="0" containsDate="1" containsString="0" minDate="2024-02-10T00:00:00" maxDate="2024-02-18T00:00:00" count="8"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</sharedItems>
    </cacheField>
    <cacheField name="Payment_Method" numFmtId="0">
      <sharedItems count="4">
        <s v="UPI"/>
        <s v="-"/>
        <s v="Card"/>
        <s v="C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  <x v="0"/>
    <n v="1"/>
    <n v="1"/>
    <n v="1"/>
    <n v="1299"/>
    <x v="0"/>
    <x v="0"/>
  </r>
  <r>
    <n v="2"/>
    <x v="1"/>
    <x v="1"/>
    <x v="1"/>
    <n v="1"/>
    <n v="0"/>
    <n v="0"/>
    <n v="0"/>
    <x v="0"/>
    <x v="1"/>
  </r>
  <r>
    <n v="3"/>
    <x v="2"/>
    <x v="2"/>
    <x v="0"/>
    <n v="1"/>
    <n v="1"/>
    <n v="1"/>
    <n v="799"/>
    <x v="1"/>
    <x v="2"/>
  </r>
  <r>
    <n v="4"/>
    <x v="3"/>
    <x v="3"/>
    <x v="2"/>
    <n v="1"/>
    <n v="1"/>
    <n v="0"/>
    <n v="0"/>
    <x v="1"/>
    <x v="1"/>
  </r>
  <r>
    <n v="5"/>
    <x v="4"/>
    <x v="4"/>
    <x v="1"/>
    <n v="1"/>
    <n v="1"/>
    <n v="1"/>
    <n v="299"/>
    <x v="1"/>
    <x v="0"/>
  </r>
  <r>
    <n v="6"/>
    <x v="5"/>
    <x v="5"/>
    <x v="0"/>
    <n v="1"/>
    <n v="1"/>
    <n v="0"/>
    <n v="0"/>
    <x v="2"/>
    <x v="1"/>
  </r>
  <r>
    <n v="7"/>
    <x v="6"/>
    <x v="6"/>
    <x v="2"/>
    <n v="1"/>
    <n v="1"/>
    <n v="1"/>
    <n v="1599"/>
    <x v="2"/>
    <x v="3"/>
  </r>
  <r>
    <n v="8"/>
    <x v="7"/>
    <x v="7"/>
    <x v="3"/>
    <n v="1"/>
    <n v="0"/>
    <n v="0"/>
    <n v="0"/>
    <x v="3"/>
    <x v="1"/>
  </r>
  <r>
    <n v="9"/>
    <x v="8"/>
    <x v="8"/>
    <x v="0"/>
    <n v="1"/>
    <n v="1"/>
    <n v="1"/>
    <n v="999"/>
    <x v="3"/>
    <x v="0"/>
  </r>
  <r>
    <n v="10"/>
    <x v="9"/>
    <x v="9"/>
    <x v="2"/>
    <n v="1"/>
    <n v="1"/>
    <n v="1"/>
    <n v="2299"/>
    <x v="4"/>
    <x v="2"/>
  </r>
  <r>
    <n v="11"/>
    <x v="3"/>
    <x v="10"/>
    <x v="2"/>
    <n v="1"/>
    <n v="1"/>
    <n v="1"/>
    <n v="1999"/>
    <x v="4"/>
    <x v="0"/>
  </r>
  <r>
    <n v="12"/>
    <x v="1"/>
    <x v="11"/>
    <x v="1"/>
    <n v="1"/>
    <n v="1"/>
    <n v="1"/>
    <n v="599"/>
    <x v="4"/>
    <x v="0"/>
  </r>
  <r>
    <n v="13"/>
    <x v="2"/>
    <x v="2"/>
    <x v="0"/>
    <n v="1"/>
    <n v="0"/>
    <n v="0"/>
    <n v="0"/>
    <x v="5"/>
    <x v="1"/>
  </r>
  <r>
    <n v="14"/>
    <x v="5"/>
    <x v="12"/>
    <x v="1"/>
    <n v="1"/>
    <n v="1"/>
    <n v="1"/>
    <n v="399"/>
    <x v="5"/>
    <x v="2"/>
  </r>
  <r>
    <n v="15"/>
    <x v="0"/>
    <x v="13"/>
    <x v="0"/>
    <n v="1"/>
    <n v="1"/>
    <n v="0"/>
    <n v="0"/>
    <x v="5"/>
    <x v="1"/>
  </r>
  <r>
    <n v="16"/>
    <x v="8"/>
    <x v="14"/>
    <x v="3"/>
    <n v="1"/>
    <n v="1"/>
    <n v="1"/>
    <n v="249"/>
    <x v="6"/>
    <x v="0"/>
  </r>
  <r>
    <n v="17"/>
    <x v="9"/>
    <x v="15"/>
    <x v="2"/>
    <n v="1"/>
    <n v="1"/>
    <n v="1"/>
    <n v="999"/>
    <x v="6"/>
    <x v="3"/>
  </r>
  <r>
    <n v="18"/>
    <x v="7"/>
    <x v="16"/>
    <x v="3"/>
    <n v="1"/>
    <n v="1"/>
    <n v="0"/>
    <n v="0"/>
    <x v="7"/>
    <x v="1"/>
  </r>
  <r>
    <n v="19"/>
    <x v="6"/>
    <x v="17"/>
    <x v="2"/>
    <n v="1"/>
    <n v="0"/>
    <n v="0"/>
    <n v="0"/>
    <x v="7"/>
    <x v="1"/>
  </r>
  <r>
    <n v="20"/>
    <x v="4"/>
    <x v="18"/>
    <x v="1"/>
    <n v="1"/>
    <n v="1"/>
    <n v="1"/>
    <n v="449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8E4E2-09AC-466B-A164-19E9861378E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F31" firstHeaderRow="0" firstDataRow="1" firstDataCol="1"/>
  <pivotFields count="10"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20">
        <item sd="0" x="12"/>
        <item sd="0" x="3"/>
        <item sd="0" x="16"/>
        <item sd="0" x="10"/>
        <item sd="0" x="13"/>
        <item sd="0" x="6"/>
        <item sd="0" x="8"/>
        <item sd="0" x="1"/>
        <item sd="0" x="7"/>
        <item sd="0" x="15"/>
        <item sd="0" x="14"/>
        <item sd="0" x="4"/>
        <item sd="0" x="2"/>
        <item sd="0" x="0"/>
        <item sd="0" x="11"/>
        <item sd="0" x="9"/>
        <item sd="0" x="18"/>
        <item sd="0" x="5"/>
        <item sd="0" x="17"/>
        <item t="default" sd="0"/>
      </items>
    </pivotField>
    <pivotField axis="axisRow" showAll="0">
      <items count="5">
        <item sd="0" x="1"/>
        <item sd="0" x="3"/>
        <item sd="0" x="2"/>
        <item sd="0" x="0"/>
        <item t="default" sd="0"/>
      </items>
    </pivotField>
    <pivotField dataField="1" showAll="0"/>
    <pivotField dataField="1" showAll="0"/>
    <pivotField dataField="1" showAll="0"/>
    <pivotField dataField="1" showAll="0"/>
    <pivotField axis="axisRow" numFmtId="14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5">
        <item x="1"/>
        <item x="2"/>
        <item x="3"/>
        <item x="0"/>
        <item t="default"/>
      </items>
    </pivotField>
  </pivotFields>
  <rowFields count="5">
    <field x="1"/>
    <field x="2"/>
    <field x="3"/>
    <field x="8"/>
    <field x="9"/>
  </rowFields>
  <rowItems count="30">
    <i>
      <x/>
    </i>
    <i r="1">
      <x v="4"/>
    </i>
    <i r="1">
      <x v="13"/>
    </i>
    <i>
      <x v="1"/>
    </i>
    <i r="1">
      <x v="7"/>
    </i>
    <i r="1">
      <x v="14"/>
    </i>
    <i>
      <x v="2"/>
    </i>
    <i r="1">
      <x v="12"/>
    </i>
    <i>
      <x v="3"/>
    </i>
    <i r="1">
      <x v="1"/>
    </i>
    <i r="1">
      <x v="3"/>
    </i>
    <i>
      <x v="4"/>
    </i>
    <i r="1">
      <x v="11"/>
    </i>
    <i r="1">
      <x v="16"/>
    </i>
    <i>
      <x v="5"/>
    </i>
    <i r="1">
      <x/>
    </i>
    <i r="1">
      <x v="17"/>
    </i>
    <i>
      <x v="6"/>
    </i>
    <i r="1">
      <x v="5"/>
    </i>
    <i r="1">
      <x v="18"/>
    </i>
    <i>
      <x v="7"/>
    </i>
    <i r="1">
      <x v="2"/>
    </i>
    <i r="1">
      <x v="8"/>
    </i>
    <i>
      <x v="8"/>
    </i>
    <i r="1">
      <x v="6"/>
    </i>
    <i r="1">
      <x v="10"/>
    </i>
    <i>
      <x v="9"/>
    </i>
    <i r="1">
      <x v="9"/>
    </i>
    <i r="1">
      <x v="1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Order_ID" fld="0" baseField="0" baseItem="0"/>
    <dataField name="Sum of Viewed" fld="4" baseField="0" baseItem="0"/>
    <dataField name="Sum of Added_to_Cart" fld="5" baseField="0" baseItem="0"/>
    <dataField name="Sum of Purchased" fld="6" baseField="0" baseItem="0"/>
    <dataField name="Sum of Order_Value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B5220-A1C6-45D6-AAA7-BFA98EFDAD78}" name="Table1" displayName="Table1" ref="A1:J21" totalsRowShown="0" headerRowDxfId="0" dataDxfId="1">
  <autoFilter ref="A1:J21" xr:uid="{1A1B5220-A1C6-45D6-AAA7-BFA98EFDAD78}"/>
  <tableColumns count="10">
    <tableColumn id="1" xr3:uid="{1AB1DF4D-5BE8-44EE-803D-CB68B947DF6D}" name="Order_ID" dataDxfId="11"/>
    <tableColumn id="2" xr3:uid="{5A389F2D-7603-48D5-92BD-0D5B98C1484D}" name="User_ID" dataDxfId="10"/>
    <tableColumn id="3" xr3:uid="{AFDC9DF9-606D-40AF-8C21-B02360871BDE}" name="Product" dataDxfId="9"/>
    <tableColumn id="4" xr3:uid="{57A7D563-28F7-45DC-8B53-0B7004AD7769}" name="Category" dataDxfId="8"/>
    <tableColumn id="5" xr3:uid="{F00202FF-8288-4C0D-9344-322EB490F8A2}" name="Viewed" dataDxfId="7"/>
    <tableColumn id="6" xr3:uid="{C5383A58-A0D1-4428-AB3D-755A92BCF40E}" name="Added_to_Cart" dataDxfId="6"/>
    <tableColumn id="7" xr3:uid="{983E5B2B-9248-4720-B624-DE8AFE526F61}" name="Purchased" dataDxfId="5"/>
    <tableColumn id="8" xr3:uid="{75F51B9E-E438-48EC-BEEB-D16B8DEB4AF3}" name="Order_Value" dataDxfId="4"/>
    <tableColumn id="9" xr3:uid="{778B2D61-E74B-4154-9B6B-F7612C3907CF}" name="Date" dataDxfId="3"/>
    <tableColumn id="10" xr3:uid="{F0E2B6D9-F385-484F-B7F7-568CC67721AF}" name="Payment_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4B5D-E72F-4DCE-BACA-6B32269BDD5D}">
  <dimension ref="A1:J21"/>
  <sheetViews>
    <sheetView workbookViewId="0">
      <selection activeCell="E13" sqref="E13"/>
    </sheetView>
  </sheetViews>
  <sheetFormatPr defaultColWidth="13.6640625" defaultRowHeight="14.4"/>
  <cols>
    <col min="1" max="5" width="13.6640625" style="5"/>
    <col min="6" max="6" width="15.6640625" style="5" customWidth="1"/>
    <col min="7" max="9" width="13.6640625" style="5"/>
    <col min="10" max="10" width="18.21875" style="5" customWidth="1"/>
    <col min="11" max="16384" width="13.6640625" style="5"/>
  </cols>
  <sheetData>
    <row r="1" spans="1:10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>
        <v>1</v>
      </c>
      <c r="F2" s="1">
        <v>1</v>
      </c>
      <c r="G2" s="1">
        <v>1</v>
      </c>
      <c r="H2" s="1">
        <v>1299</v>
      </c>
      <c r="I2" s="4">
        <v>45332</v>
      </c>
      <c r="J2" s="1" t="s">
        <v>13</v>
      </c>
    </row>
    <row r="3" spans="1:10">
      <c r="A3" s="1">
        <v>2</v>
      </c>
      <c r="B3" s="1" t="s">
        <v>14</v>
      </c>
      <c r="C3" s="1" t="s">
        <v>15</v>
      </c>
      <c r="D3" s="1" t="s">
        <v>16</v>
      </c>
      <c r="E3" s="1">
        <v>1</v>
      </c>
      <c r="F3" s="1">
        <v>0</v>
      </c>
      <c r="G3" s="1">
        <v>0</v>
      </c>
      <c r="H3" s="1">
        <v>0</v>
      </c>
      <c r="I3" s="4">
        <v>45332</v>
      </c>
      <c r="J3" s="1" t="s">
        <v>17</v>
      </c>
    </row>
    <row r="4" spans="1:10">
      <c r="A4" s="1">
        <v>3</v>
      </c>
      <c r="B4" s="1" t="s">
        <v>18</v>
      </c>
      <c r="C4" s="1" t="s">
        <v>19</v>
      </c>
      <c r="D4" s="1" t="s">
        <v>12</v>
      </c>
      <c r="E4" s="1">
        <v>1</v>
      </c>
      <c r="F4" s="1">
        <v>1</v>
      </c>
      <c r="G4" s="1">
        <v>1</v>
      </c>
      <c r="H4" s="1">
        <v>799</v>
      </c>
      <c r="I4" s="4">
        <v>45333</v>
      </c>
      <c r="J4" s="1" t="s">
        <v>20</v>
      </c>
    </row>
    <row r="5" spans="1:10">
      <c r="A5" s="1">
        <v>4</v>
      </c>
      <c r="B5" s="1" t="s">
        <v>21</v>
      </c>
      <c r="C5" s="1" t="s">
        <v>22</v>
      </c>
      <c r="D5" s="1" t="s">
        <v>23</v>
      </c>
      <c r="E5" s="1">
        <v>1</v>
      </c>
      <c r="F5" s="1">
        <v>1</v>
      </c>
      <c r="G5" s="1">
        <v>0</v>
      </c>
      <c r="H5" s="1">
        <v>0</v>
      </c>
      <c r="I5" s="4">
        <v>45333</v>
      </c>
      <c r="J5" s="1" t="s">
        <v>17</v>
      </c>
    </row>
    <row r="6" spans="1:10">
      <c r="A6" s="1">
        <v>5</v>
      </c>
      <c r="B6" s="1" t="s">
        <v>24</v>
      </c>
      <c r="C6" s="1" t="s">
        <v>25</v>
      </c>
      <c r="D6" s="1" t="s">
        <v>16</v>
      </c>
      <c r="E6" s="1">
        <v>1</v>
      </c>
      <c r="F6" s="1">
        <v>1</v>
      </c>
      <c r="G6" s="1">
        <v>1</v>
      </c>
      <c r="H6" s="1">
        <v>299</v>
      </c>
      <c r="I6" s="4">
        <v>45333</v>
      </c>
      <c r="J6" s="1" t="s">
        <v>13</v>
      </c>
    </row>
    <row r="7" spans="1:10">
      <c r="A7" s="1">
        <v>6</v>
      </c>
      <c r="B7" s="1" t="s">
        <v>26</v>
      </c>
      <c r="C7" s="1" t="s">
        <v>27</v>
      </c>
      <c r="D7" s="1" t="s">
        <v>12</v>
      </c>
      <c r="E7" s="1">
        <v>1</v>
      </c>
      <c r="F7" s="1">
        <v>1</v>
      </c>
      <c r="G7" s="1">
        <v>0</v>
      </c>
      <c r="H7" s="1">
        <v>0</v>
      </c>
      <c r="I7" s="4">
        <v>45334</v>
      </c>
      <c r="J7" s="1" t="s">
        <v>17</v>
      </c>
    </row>
    <row r="8" spans="1:10">
      <c r="A8" s="1">
        <v>7</v>
      </c>
      <c r="B8" s="1" t="s">
        <v>28</v>
      </c>
      <c r="C8" s="1" t="s">
        <v>29</v>
      </c>
      <c r="D8" s="1" t="s">
        <v>23</v>
      </c>
      <c r="E8" s="1">
        <v>1</v>
      </c>
      <c r="F8" s="1">
        <v>1</v>
      </c>
      <c r="G8" s="1">
        <v>1</v>
      </c>
      <c r="H8" s="1">
        <v>1599</v>
      </c>
      <c r="I8" s="4">
        <v>45334</v>
      </c>
      <c r="J8" s="1" t="s">
        <v>30</v>
      </c>
    </row>
    <row r="9" spans="1:10">
      <c r="A9" s="1">
        <v>8</v>
      </c>
      <c r="B9" s="1" t="s">
        <v>31</v>
      </c>
      <c r="C9" s="1" t="s">
        <v>32</v>
      </c>
      <c r="D9" s="1" t="s">
        <v>33</v>
      </c>
      <c r="E9" s="1">
        <v>1</v>
      </c>
      <c r="F9" s="1">
        <v>0</v>
      </c>
      <c r="G9" s="1">
        <v>0</v>
      </c>
      <c r="H9" s="1">
        <v>0</v>
      </c>
      <c r="I9" s="4">
        <v>45335</v>
      </c>
      <c r="J9" s="1" t="s">
        <v>17</v>
      </c>
    </row>
    <row r="10" spans="1:10">
      <c r="A10" s="1">
        <v>9</v>
      </c>
      <c r="B10" s="1" t="s">
        <v>34</v>
      </c>
      <c r="C10" s="1" t="s">
        <v>35</v>
      </c>
      <c r="D10" s="1" t="s">
        <v>12</v>
      </c>
      <c r="E10" s="1">
        <v>1</v>
      </c>
      <c r="F10" s="1">
        <v>1</v>
      </c>
      <c r="G10" s="1">
        <v>1</v>
      </c>
      <c r="H10" s="1">
        <v>999</v>
      </c>
      <c r="I10" s="4">
        <v>45335</v>
      </c>
      <c r="J10" s="1" t="s">
        <v>13</v>
      </c>
    </row>
    <row r="11" spans="1:10">
      <c r="A11" s="1">
        <v>10</v>
      </c>
      <c r="B11" s="1" t="s">
        <v>36</v>
      </c>
      <c r="C11" s="1" t="s">
        <v>37</v>
      </c>
      <c r="D11" s="1" t="s">
        <v>23</v>
      </c>
      <c r="E11" s="1">
        <v>1</v>
      </c>
      <c r="F11" s="1">
        <v>1</v>
      </c>
      <c r="G11" s="1">
        <v>1</v>
      </c>
      <c r="H11" s="1">
        <v>2299</v>
      </c>
      <c r="I11" s="4">
        <v>45336</v>
      </c>
      <c r="J11" s="1" t="s">
        <v>20</v>
      </c>
    </row>
    <row r="12" spans="1:10">
      <c r="A12" s="1">
        <v>11</v>
      </c>
      <c r="B12" s="1" t="s">
        <v>21</v>
      </c>
      <c r="C12" s="1" t="s">
        <v>38</v>
      </c>
      <c r="D12" s="1" t="s">
        <v>23</v>
      </c>
      <c r="E12" s="1">
        <v>1</v>
      </c>
      <c r="F12" s="1">
        <v>1</v>
      </c>
      <c r="G12" s="1">
        <v>1</v>
      </c>
      <c r="H12" s="1">
        <v>1999</v>
      </c>
      <c r="I12" s="4">
        <v>45336</v>
      </c>
      <c r="J12" s="1" t="s">
        <v>13</v>
      </c>
    </row>
    <row r="13" spans="1:10">
      <c r="A13" s="1">
        <v>12</v>
      </c>
      <c r="B13" s="1" t="s">
        <v>14</v>
      </c>
      <c r="C13" s="1" t="s">
        <v>39</v>
      </c>
      <c r="D13" s="1" t="s">
        <v>16</v>
      </c>
      <c r="E13" s="1">
        <v>1</v>
      </c>
      <c r="F13" s="1">
        <v>1</v>
      </c>
      <c r="G13" s="1">
        <v>1</v>
      </c>
      <c r="H13" s="1">
        <v>599</v>
      </c>
      <c r="I13" s="4">
        <v>45336</v>
      </c>
      <c r="J13" s="1" t="s">
        <v>13</v>
      </c>
    </row>
    <row r="14" spans="1:10">
      <c r="A14" s="1">
        <v>13</v>
      </c>
      <c r="B14" s="1" t="s">
        <v>18</v>
      </c>
      <c r="C14" s="1" t="s">
        <v>19</v>
      </c>
      <c r="D14" s="1" t="s">
        <v>12</v>
      </c>
      <c r="E14" s="1">
        <v>1</v>
      </c>
      <c r="F14" s="1">
        <v>0</v>
      </c>
      <c r="G14" s="1">
        <v>0</v>
      </c>
      <c r="H14" s="1">
        <v>0</v>
      </c>
      <c r="I14" s="4">
        <v>45337</v>
      </c>
      <c r="J14" s="1" t="s">
        <v>17</v>
      </c>
    </row>
    <row r="15" spans="1:10">
      <c r="A15" s="1">
        <v>14</v>
      </c>
      <c r="B15" s="1" t="s">
        <v>26</v>
      </c>
      <c r="C15" s="1" t="s">
        <v>40</v>
      </c>
      <c r="D15" s="1" t="s">
        <v>16</v>
      </c>
      <c r="E15" s="1">
        <v>1</v>
      </c>
      <c r="F15" s="1">
        <v>1</v>
      </c>
      <c r="G15" s="1">
        <v>1</v>
      </c>
      <c r="H15" s="1">
        <v>399</v>
      </c>
      <c r="I15" s="4">
        <v>45337</v>
      </c>
      <c r="J15" s="1" t="s">
        <v>20</v>
      </c>
    </row>
    <row r="16" spans="1:10">
      <c r="A16" s="1">
        <v>15</v>
      </c>
      <c r="B16" s="1" t="s">
        <v>10</v>
      </c>
      <c r="C16" s="1" t="s">
        <v>41</v>
      </c>
      <c r="D16" s="1" t="s">
        <v>12</v>
      </c>
      <c r="E16" s="1">
        <v>1</v>
      </c>
      <c r="F16" s="1">
        <v>1</v>
      </c>
      <c r="G16" s="1">
        <v>0</v>
      </c>
      <c r="H16" s="1">
        <v>0</v>
      </c>
      <c r="I16" s="4">
        <v>45337</v>
      </c>
      <c r="J16" s="1" t="s">
        <v>17</v>
      </c>
    </row>
    <row r="17" spans="1:10">
      <c r="A17" s="1">
        <v>16</v>
      </c>
      <c r="B17" s="1" t="s">
        <v>34</v>
      </c>
      <c r="C17" s="1" t="s">
        <v>42</v>
      </c>
      <c r="D17" s="1" t="s">
        <v>33</v>
      </c>
      <c r="E17" s="1">
        <v>1</v>
      </c>
      <c r="F17" s="1">
        <v>1</v>
      </c>
      <c r="G17" s="1">
        <v>1</v>
      </c>
      <c r="H17" s="1">
        <v>249</v>
      </c>
      <c r="I17" s="4">
        <v>45338</v>
      </c>
      <c r="J17" s="1" t="s">
        <v>13</v>
      </c>
    </row>
    <row r="18" spans="1:10">
      <c r="A18" s="1">
        <v>17</v>
      </c>
      <c r="B18" s="1" t="s">
        <v>36</v>
      </c>
      <c r="C18" s="1" t="s">
        <v>43</v>
      </c>
      <c r="D18" s="1" t="s">
        <v>23</v>
      </c>
      <c r="E18" s="1">
        <v>1</v>
      </c>
      <c r="F18" s="1">
        <v>1</v>
      </c>
      <c r="G18" s="1">
        <v>1</v>
      </c>
      <c r="H18" s="1">
        <v>999</v>
      </c>
      <c r="I18" s="4">
        <v>45338</v>
      </c>
      <c r="J18" s="1" t="s">
        <v>30</v>
      </c>
    </row>
    <row r="19" spans="1:10">
      <c r="A19" s="1">
        <v>18</v>
      </c>
      <c r="B19" s="1" t="s">
        <v>31</v>
      </c>
      <c r="C19" s="1" t="s">
        <v>44</v>
      </c>
      <c r="D19" s="1" t="s">
        <v>33</v>
      </c>
      <c r="E19" s="1">
        <v>1</v>
      </c>
      <c r="F19" s="1">
        <v>1</v>
      </c>
      <c r="G19" s="1">
        <v>0</v>
      </c>
      <c r="H19" s="1">
        <v>0</v>
      </c>
      <c r="I19" s="4">
        <v>45339</v>
      </c>
      <c r="J19" s="1" t="s">
        <v>17</v>
      </c>
    </row>
    <row r="20" spans="1:10">
      <c r="A20" s="1">
        <v>19</v>
      </c>
      <c r="B20" s="1" t="s">
        <v>28</v>
      </c>
      <c r="C20" s="1" t="s">
        <v>45</v>
      </c>
      <c r="D20" s="1" t="s">
        <v>23</v>
      </c>
      <c r="E20" s="1">
        <v>1</v>
      </c>
      <c r="F20" s="1">
        <v>0</v>
      </c>
      <c r="G20" s="1">
        <v>0</v>
      </c>
      <c r="H20" s="1">
        <v>0</v>
      </c>
      <c r="I20" s="4">
        <v>45339</v>
      </c>
      <c r="J20" s="1" t="s">
        <v>17</v>
      </c>
    </row>
    <row r="21" spans="1:10">
      <c r="A21" s="1">
        <v>20</v>
      </c>
      <c r="B21" s="1" t="s">
        <v>24</v>
      </c>
      <c r="C21" s="1" t="s">
        <v>46</v>
      </c>
      <c r="D21" s="1" t="s">
        <v>16</v>
      </c>
      <c r="E21" s="1">
        <v>1</v>
      </c>
      <c r="F21" s="1">
        <v>1</v>
      </c>
      <c r="G21" s="1">
        <v>1</v>
      </c>
      <c r="H21" s="1">
        <v>449</v>
      </c>
      <c r="I21" s="4">
        <v>45339</v>
      </c>
      <c r="J2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716A-A28C-4B89-93AF-878A925EE1D6}">
  <dimension ref="A1:B7"/>
  <sheetViews>
    <sheetView workbookViewId="0">
      <selection activeCell="B16" sqref="B16"/>
    </sheetView>
  </sheetViews>
  <sheetFormatPr defaultRowHeight="14.4"/>
  <cols>
    <col min="1" max="1" width="16.109375" customWidth="1"/>
    <col min="2" max="2" width="23.44140625" customWidth="1"/>
  </cols>
  <sheetData>
    <row r="1" spans="1:2">
      <c r="A1" s="2" t="s">
        <v>47</v>
      </c>
      <c r="B1" s="2" t="s">
        <v>48</v>
      </c>
    </row>
    <row r="2" spans="1:2">
      <c r="A2" s="3" t="s">
        <v>49</v>
      </c>
      <c r="B2" s="6">
        <f>COUNTA(_xlfn.UNIQUE(Orders_Data!B2:B1000))</f>
        <v>11</v>
      </c>
    </row>
    <row r="3" spans="1:2">
      <c r="A3" s="3" t="s">
        <v>50</v>
      </c>
      <c r="B3" s="6">
        <f>COUNTIF(Orders_Data!G2:G1000, 1)</f>
        <v>12</v>
      </c>
    </row>
    <row r="4" spans="1:2">
      <c r="A4" s="3" t="s">
        <v>51</v>
      </c>
      <c r="B4" s="6">
        <f>COUNTIF(Orders_Data!G2:G1000,1) / COUNTIF(Orders_Data!E2:E1000,1)</f>
        <v>0.6</v>
      </c>
    </row>
    <row r="5" spans="1:2" ht="43.2">
      <c r="A5" s="3" t="s">
        <v>52</v>
      </c>
      <c r="B5" s="6">
        <f>(COUNTIF(Orders_Data!F2:F1000,1) - COUNTIF(Orders_Data!G2:G1000,1)) / COUNTIF(Orders_Data!F2:F1000,1)</f>
        <v>0.25</v>
      </c>
    </row>
    <row r="6" spans="1:2" ht="28.8">
      <c r="A6" s="3" t="s">
        <v>53</v>
      </c>
      <c r="B6" s="6">
        <f>AVERAGEIF(Orders_Data!G2:G1000,1,Orders_Data!H2:H1000)</f>
        <v>999</v>
      </c>
    </row>
    <row r="7" spans="1:2" ht="26.4" customHeight="1">
      <c r="A7" s="3" t="s">
        <v>54</v>
      </c>
      <c r="B7" s="6">
        <f>SUMIF(Orders_Data!G2:G1000,1,Orders_Data!H2:H1000)</f>
        <v>11988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2601-0B9D-4498-8921-8CEB49B3696C}">
  <dimension ref="A1:F31"/>
  <sheetViews>
    <sheetView tabSelected="1" workbookViewId="0">
      <selection activeCell="O2" sqref="O2"/>
    </sheetView>
  </sheetViews>
  <sheetFormatPr defaultRowHeight="14.4"/>
  <cols>
    <col min="1" max="1" width="15.5546875" bestFit="1" customWidth="1"/>
    <col min="2" max="2" width="15.109375" bestFit="1" customWidth="1"/>
    <col min="3" max="3" width="13.77734375" bestFit="1" customWidth="1"/>
    <col min="4" max="4" width="20.44140625" bestFit="1" customWidth="1"/>
    <col min="5" max="5" width="16.33203125" bestFit="1" customWidth="1"/>
    <col min="6" max="6" width="18.21875" bestFit="1" customWidth="1"/>
  </cols>
  <sheetData>
    <row r="1" spans="1:6">
      <c r="A1" s="7" t="s">
        <v>55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>
      <c r="A2" s="8" t="s">
        <v>10</v>
      </c>
      <c r="B2" s="9">
        <v>16</v>
      </c>
      <c r="C2" s="9">
        <v>2</v>
      </c>
      <c r="D2" s="9">
        <v>2</v>
      </c>
      <c r="E2" s="9">
        <v>1</v>
      </c>
      <c r="F2" s="9">
        <v>1299</v>
      </c>
    </row>
    <row r="3" spans="1:6">
      <c r="A3" s="10" t="s">
        <v>41</v>
      </c>
      <c r="B3" s="9">
        <v>15</v>
      </c>
      <c r="C3" s="9">
        <v>1</v>
      </c>
      <c r="D3" s="9">
        <v>1</v>
      </c>
      <c r="E3" s="9">
        <v>0</v>
      </c>
      <c r="F3" s="9">
        <v>0</v>
      </c>
    </row>
    <row r="4" spans="1:6">
      <c r="A4" s="10" t="s">
        <v>11</v>
      </c>
      <c r="B4" s="9">
        <v>1</v>
      </c>
      <c r="C4" s="9">
        <v>1</v>
      </c>
      <c r="D4" s="9">
        <v>1</v>
      </c>
      <c r="E4" s="9">
        <v>1</v>
      </c>
      <c r="F4" s="9">
        <v>1299</v>
      </c>
    </row>
    <row r="5" spans="1:6">
      <c r="A5" s="8" t="s">
        <v>14</v>
      </c>
      <c r="B5" s="9">
        <v>14</v>
      </c>
      <c r="C5" s="9">
        <v>2</v>
      </c>
      <c r="D5" s="9">
        <v>1</v>
      </c>
      <c r="E5" s="9">
        <v>1</v>
      </c>
      <c r="F5" s="9">
        <v>599</v>
      </c>
    </row>
    <row r="6" spans="1:6">
      <c r="A6" s="10" t="s">
        <v>15</v>
      </c>
      <c r="B6" s="9">
        <v>2</v>
      </c>
      <c r="C6" s="9">
        <v>1</v>
      </c>
      <c r="D6" s="9">
        <v>0</v>
      </c>
      <c r="E6" s="9">
        <v>0</v>
      </c>
      <c r="F6" s="9">
        <v>0</v>
      </c>
    </row>
    <row r="7" spans="1:6">
      <c r="A7" s="10" t="s">
        <v>39</v>
      </c>
      <c r="B7" s="9">
        <v>12</v>
      </c>
      <c r="C7" s="9">
        <v>1</v>
      </c>
      <c r="D7" s="9">
        <v>1</v>
      </c>
      <c r="E7" s="9">
        <v>1</v>
      </c>
      <c r="F7" s="9">
        <v>599</v>
      </c>
    </row>
    <row r="8" spans="1:6">
      <c r="A8" s="8" t="s">
        <v>18</v>
      </c>
      <c r="B8" s="9">
        <v>16</v>
      </c>
      <c r="C8" s="9">
        <v>2</v>
      </c>
      <c r="D8" s="9">
        <v>1</v>
      </c>
      <c r="E8" s="9">
        <v>1</v>
      </c>
      <c r="F8" s="9">
        <v>799</v>
      </c>
    </row>
    <row r="9" spans="1:6">
      <c r="A9" s="10" t="s">
        <v>19</v>
      </c>
      <c r="B9" s="9">
        <v>16</v>
      </c>
      <c r="C9" s="9">
        <v>2</v>
      </c>
      <c r="D9" s="9">
        <v>1</v>
      </c>
      <c r="E9" s="9">
        <v>1</v>
      </c>
      <c r="F9" s="9">
        <v>799</v>
      </c>
    </row>
    <row r="10" spans="1:6">
      <c r="A10" s="8" t="s">
        <v>21</v>
      </c>
      <c r="B10" s="9">
        <v>15</v>
      </c>
      <c r="C10" s="9">
        <v>2</v>
      </c>
      <c r="D10" s="9">
        <v>2</v>
      </c>
      <c r="E10" s="9">
        <v>1</v>
      </c>
      <c r="F10" s="9">
        <v>1999</v>
      </c>
    </row>
    <row r="11" spans="1:6">
      <c r="A11" s="10" t="s">
        <v>22</v>
      </c>
      <c r="B11" s="9">
        <v>4</v>
      </c>
      <c r="C11" s="9">
        <v>1</v>
      </c>
      <c r="D11" s="9">
        <v>1</v>
      </c>
      <c r="E11" s="9">
        <v>0</v>
      </c>
      <c r="F11" s="9">
        <v>0</v>
      </c>
    </row>
    <row r="12" spans="1:6">
      <c r="A12" s="10" t="s">
        <v>38</v>
      </c>
      <c r="B12" s="9">
        <v>11</v>
      </c>
      <c r="C12" s="9">
        <v>1</v>
      </c>
      <c r="D12" s="9">
        <v>1</v>
      </c>
      <c r="E12" s="9">
        <v>1</v>
      </c>
      <c r="F12" s="9">
        <v>1999</v>
      </c>
    </row>
    <row r="13" spans="1:6">
      <c r="A13" s="8" t="s">
        <v>24</v>
      </c>
      <c r="B13" s="9">
        <v>25</v>
      </c>
      <c r="C13" s="9">
        <v>2</v>
      </c>
      <c r="D13" s="9">
        <v>2</v>
      </c>
      <c r="E13" s="9">
        <v>2</v>
      </c>
      <c r="F13" s="9">
        <v>748</v>
      </c>
    </row>
    <row r="14" spans="1:6">
      <c r="A14" s="10" t="s">
        <v>25</v>
      </c>
      <c r="B14" s="9">
        <v>5</v>
      </c>
      <c r="C14" s="9">
        <v>1</v>
      </c>
      <c r="D14" s="9">
        <v>1</v>
      </c>
      <c r="E14" s="9">
        <v>1</v>
      </c>
      <c r="F14" s="9">
        <v>299</v>
      </c>
    </row>
    <row r="15" spans="1:6">
      <c r="A15" s="10" t="s">
        <v>46</v>
      </c>
      <c r="B15" s="9">
        <v>20</v>
      </c>
      <c r="C15" s="9">
        <v>1</v>
      </c>
      <c r="D15" s="9">
        <v>1</v>
      </c>
      <c r="E15" s="9">
        <v>1</v>
      </c>
      <c r="F15" s="9">
        <v>449</v>
      </c>
    </row>
    <row r="16" spans="1:6">
      <c r="A16" s="8" t="s">
        <v>26</v>
      </c>
      <c r="B16" s="9">
        <v>20</v>
      </c>
      <c r="C16" s="9">
        <v>2</v>
      </c>
      <c r="D16" s="9">
        <v>2</v>
      </c>
      <c r="E16" s="9">
        <v>1</v>
      </c>
      <c r="F16" s="9">
        <v>399</v>
      </c>
    </row>
    <row r="17" spans="1:6">
      <c r="A17" s="10" t="s">
        <v>40</v>
      </c>
      <c r="B17" s="9">
        <v>14</v>
      </c>
      <c r="C17" s="9">
        <v>1</v>
      </c>
      <c r="D17" s="9">
        <v>1</v>
      </c>
      <c r="E17" s="9">
        <v>1</v>
      </c>
      <c r="F17" s="9">
        <v>399</v>
      </c>
    </row>
    <row r="18" spans="1:6">
      <c r="A18" s="10" t="s">
        <v>27</v>
      </c>
      <c r="B18" s="9">
        <v>6</v>
      </c>
      <c r="C18" s="9">
        <v>1</v>
      </c>
      <c r="D18" s="9">
        <v>1</v>
      </c>
      <c r="E18" s="9">
        <v>0</v>
      </c>
      <c r="F18" s="9">
        <v>0</v>
      </c>
    </row>
    <row r="19" spans="1:6">
      <c r="A19" s="8" t="s">
        <v>28</v>
      </c>
      <c r="B19" s="9">
        <v>26</v>
      </c>
      <c r="C19" s="9">
        <v>2</v>
      </c>
      <c r="D19" s="9">
        <v>1</v>
      </c>
      <c r="E19" s="9">
        <v>1</v>
      </c>
      <c r="F19" s="9">
        <v>1599</v>
      </c>
    </row>
    <row r="20" spans="1:6">
      <c r="A20" s="10" t="s">
        <v>29</v>
      </c>
      <c r="B20" s="9">
        <v>7</v>
      </c>
      <c r="C20" s="9">
        <v>1</v>
      </c>
      <c r="D20" s="9">
        <v>1</v>
      </c>
      <c r="E20" s="9">
        <v>1</v>
      </c>
      <c r="F20" s="9">
        <v>1599</v>
      </c>
    </row>
    <row r="21" spans="1:6">
      <c r="A21" s="10" t="s">
        <v>45</v>
      </c>
      <c r="B21" s="9">
        <v>19</v>
      </c>
      <c r="C21" s="9">
        <v>1</v>
      </c>
      <c r="D21" s="9">
        <v>0</v>
      </c>
      <c r="E21" s="9">
        <v>0</v>
      </c>
      <c r="F21" s="9">
        <v>0</v>
      </c>
    </row>
    <row r="22" spans="1:6">
      <c r="A22" s="8" t="s">
        <v>31</v>
      </c>
      <c r="B22" s="9">
        <v>26</v>
      </c>
      <c r="C22" s="9">
        <v>2</v>
      </c>
      <c r="D22" s="9">
        <v>1</v>
      </c>
      <c r="E22" s="9">
        <v>0</v>
      </c>
      <c r="F22" s="9">
        <v>0</v>
      </c>
    </row>
    <row r="23" spans="1:6">
      <c r="A23" s="10" t="s">
        <v>44</v>
      </c>
      <c r="B23" s="9">
        <v>18</v>
      </c>
      <c r="C23" s="9">
        <v>1</v>
      </c>
      <c r="D23" s="9">
        <v>1</v>
      </c>
      <c r="E23" s="9">
        <v>0</v>
      </c>
      <c r="F23" s="9">
        <v>0</v>
      </c>
    </row>
    <row r="24" spans="1:6">
      <c r="A24" s="10" t="s">
        <v>32</v>
      </c>
      <c r="B24" s="9">
        <v>8</v>
      </c>
      <c r="C24" s="9">
        <v>1</v>
      </c>
      <c r="D24" s="9">
        <v>0</v>
      </c>
      <c r="E24" s="9">
        <v>0</v>
      </c>
      <c r="F24" s="9">
        <v>0</v>
      </c>
    </row>
    <row r="25" spans="1:6">
      <c r="A25" s="8" t="s">
        <v>34</v>
      </c>
      <c r="B25" s="9">
        <v>25</v>
      </c>
      <c r="C25" s="9">
        <v>2</v>
      </c>
      <c r="D25" s="9">
        <v>2</v>
      </c>
      <c r="E25" s="9">
        <v>2</v>
      </c>
      <c r="F25" s="9">
        <v>1248</v>
      </c>
    </row>
    <row r="26" spans="1:6">
      <c r="A26" s="10" t="s">
        <v>35</v>
      </c>
      <c r="B26" s="9">
        <v>9</v>
      </c>
      <c r="C26" s="9">
        <v>1</v>
      </c>
      <c r="D26" s="9">
        <v>1</v>
      </c>
      <c r="E26" s="9">
        <v>1</v>
      </c>
      <c r="F26" s="9">
        <v>999</v>
      </c>
    </row>
    <row r="27" spans="1:6">
      <c r="A27" s="10" t="s">
        <v>42</v>
      </c>
      <c r="B27" s="9">
        <v>16</v>
      </c>
      <c r="C27" s="9">
        <v>1</v>
      </c>
      <c r="D27" s="9">
        <v>1</v>
      </c>
      <c r="E27" s="9">
        <v>1</v>
      </c>
      <c r="F27" s="9">
        <v>249</v>
      </c>
    </row>
    <row r="28" spans="1:6">
      <c r="A28" s="8" t="s">
        <v>36</v>
      </c>
      <c r="B28" s="9">
        <v>27</v>
      </c>
      <c r="C28" s="9">
        <v>2</v>
      </c>
      <c r="D28" s="9">
        <v>2</v>
      </c>
      <c r="E28" s="9">
        <v>2</v>
      </c>
      <c r="F28" s="9">
        <v>3298</v>
      </c>
    </row>
    <row r="29" spans="1:6">
      <c r="A29" s="10" t="s">
        <v>43</v>
      </c>
      <c r="B29" s="9">
        <v>17</v>
      </c>
      <c r="C29" s="9">
        <v>1</v>
      </c>
      <c r="D29" s="9">
        <v>1</v>
      </c>
      <c r="E29" s="9">
        <v>1</v>
      </c>
      <c r="F29" s="9">
        <v>999</v>
      </c>
    </row>
    <row r="30" spans="1:6">
      <c r="A30" s="10" t="s">
        <v>37</v>
      </c>
      <c r="B30" s="9">
        <v>10</v>
      </c>
      <c r="C30" s="9">
        <v>1</v>
      </c>
      <c r="D30" s="9">
        <v>1</v>
      </c>
      <c r="E30" s="9">
        <v>1</v>
      </c>
      <c r="F30" s="9">
        <v>2299</v>
      </c>
    </row>
    <row r="31" spans="1:6">
      <c r="A31" s="8" t="s">
        <v>56</v>
      </c>
      <c r="B31" s="9">
        <v>210</v>
      </c>
      <c r="C31" s="9">
        <v>20</v>
      </c>
      <c r="D31" s="9">
        <v>16</v>
      </c>
      <c r="E31" s="9">
        <v>12</v>
      </c>
      <c r="F31" s="9">
        <v>11988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Orders_Data</vt:lpstr>
      <vt:lpstr>Metrics_Summary</vt:lpstr>
      <vt:lpstr>dashboard</vt:lpstr>
      <vt:lpstr>Orders_data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NS</dc:creator>
  <cp:lastModifiedBy>Varshini NS</cp:lastModifiedBy>
  <dcterms:created xsi:type="dcterms:W3CDTF">2025-12-01T15:05:42Z</dcterms:created>
  <dcterms:modified xsi:type="dcterms:W3CDTF">2025-12-01T16:33:09Z</dcterms:modified>
</cp:coreProperties>
</file>